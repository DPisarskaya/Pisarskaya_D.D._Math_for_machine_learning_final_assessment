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pisarskay001\Desktop\"/>
    </mc:Choice>
  </mc:AlternateContent>
  <xr:revisionPtr revIDLastSave="0" documentId="13_ncr:1_{17EE9264-F3FA-49A8-9B2B-6B9196D22A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Подсчеты для части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M2" i="1"/>
  <c r="L5" i="1"/>
  <c r="M5" i="1"/>
  <c r="M6" i="1"/>
  <c r="M7" i="1"/>
  <c r="L9" i="1"/>
  <c r="L10" i="1"/>
  <c r="M10" i="1"/>
  <c r="N10" i="1"/>
  <c r="N11" i="1"/>
  <c r="L13" i="1"/>
  <c r="M13" i="1"/>
  <c r="I13" i="1"/>
  <c r="J3" i="1"/>
  <c r="M3" i="1" s="1"/>
  <c r="J4" i="1"/>
  <c r="M4" i="1" s="1"/>
  <c r="J5" i="1"/>
  <c r="J6" i="1"/>
  <c r="J7" i="1"/>
  <c r="J8" i="1"/>
  <c r="M8" i="1" s="1"/>
  <c r="J9" i="1"/>
  <c r="M9" i="1" s="1"/>
  <c r="J10" i="1"/>
  <c r="J11" i="1"/>
  <c r="M11" i="1" s="1"/>
  <c r="J12" i="1"/>
  <c r="M12" i="1" s="1"/>
  <c r="J13" i="1"/>
  <c r="J2" i="1"/>
  <c r="I3" i="1"/>
  <c r="L3" i="1" s="1"/>
  <c r="I4" i="1"/>
  <c r="L4" i="1" s="1"/>
  <c r="I5" i="1"/>
  <c r="I6" i="1"/>
  <c r="L6" i="1" s="1"/>
  <c r="I7" i="1"/>
  <c r="L7" i="1" s="1"/>
  <c r="I8" i="1"/>
  <c r="L8" i="1" s="1"/>
  <c r="I9" i="1"/>
  <c r="I10" i="1"/>
  <c r="I11" i="1"/>
  <c r="L11" i="1" s="1"/>
  <c r="I12" i="1"/>
  <c r="L12" i="1" s="1"/>
  <c r="I2" i="1"/>
  <c r="G3" i="1"/>
  <c r="G4" i="1"/>
  <c r="G5" i="1"/>
  <c r="G6" i="1"/>
  <c r="G7" i="1"/>
  <c r="G8" i="1"/>
  <c r="G9" i="1"/>
  <c r="G10" i="1"/>
  <c r="G11" i="1"/>
  <c r="G12" i="1"/>
  <c r="G13" i="1"/>
  <c r="G2" i="1"/>
  <c r="D3" i="1"/>
  <c r="K3" i="1" s="1"/>
  <c r="N3" i="1" s="1"/>
  <c r="D4" i="1"/>
  <c r="H4" i="1" s="1"/>
  <c r="D5" i="1"/>
  <c r="H5" i="1" s="1"/>
  <c r="D6" i="1"/>
  <c r="H6" i="1" s="1"/>
  <c r="D7" i="1"/>
  <c r="H7" i="1" s="1"/>
  <c r="D8" i="1"/>
  <c r="K8" i="1" s="1"/>
  <c r="N8" i="1" s="1"/>
  <c r="D9" i="1"/>
  <c r="E9" i="1" s="1"/>
  <c r="D10" i="1"/>
  <c r="K10" i="1" s="1"/>
  <c r="D11" i="1"/>
  <c r="K11" i="1" s="1"/>
  <c r="D12" i="1"/>
  <c r="H12" i="1" s="1"/>
  <c r="D13" i="1"/>
  <c r="H13" i="1" s="1"/>
  <c r="D2" i="1"/>
  <c r="H2" i="1" s="1"/>
  <c r="C14" i="1"/>
  <c r="B14" i="1"/>
  <c r="M14" i="1" l="1"/>
  <c r="L14" i="1"/>
  <c r="K9" i="1"/>
  <c r="N9" i="1" s="1"/>
  <c r="H8" i="1"/>
  <c r="E8" i="1"/>
  <c r="F8" i="1" s="1"/>
  <c r="E7" i="1"/>
  <c r="E5" i="1"/>
  <c r="J17" i="1"/>
  <c r="E6" i="1"/>
  <c r="F9" i="1"/>
  <c r="E13" i="1"/>
  <c r="F13" i="1" s="1"/>
  <c r="E12" i="1"/>
  <c r="F12" i="1" s="1"/>
  <c r="E4" i="1"/>
  <c r="F4" i="1" s="1"/>
  <c r="E11" i="1"/>
  <c r="F11" i="1" s="1"/>
  <c r="E3" i="1"/>
  <c r="E10" i="1"/>
  <c r="F10" i="1" s="1"/>
  <c r="E2" i="1"/>
  <c r="F2" i="1" s="1"/>
  <c r="F6" i="1"/>
  <c r="H11" i="1"/>
  <c r="K6" i="1"/>
  <c r="N6" i="1" s="1"/>
  <c r="I15" i="1"/>
  <c r="I14" i="1"/>
  <c r="J15" i="1"/>
  <c r="I17" i="1"/>
  <c r="I16" i="1"/>
  <c r="J16" i="1"/>
  <c r="F7" i="1"/>
  <c r="H3" i="1"/>
  <c r="K2" i="1"/>
  <c r="N2" i="1" s="1"/>
  <c r="J14" i="1"/>
  <c r="G14" i="1"/>
  <c r="H10" i="1"/>
  <c r="D14" i="1"/>
  <c r="H9" i="1"/>
  <c r="F5" i="1"/>
  <c r="K7" i="1"/>
  <c r="N7" i="1" s="1"/>
  <c r="F3" i="1"/>
  <c r="K13" i="1"/>
  <c r="N13" i="1" s="1"/>
  <c r="K5" i="1"/>
  <c r="N5" i="1" s="1"/>
  <c r="K12" i="1"/>
  <c r="N12" i="1" s="1"/>
  <c r="K4" i="1"/>
  <c r="N4" i="1" s="1"/>
  <c r="N14" i="1" l="1"/>
  <c r="F14" i="1"/>
  <c r="I18" i="1"/>
  <c r="H14" i="1"/>
  <c r="K14" i="1"/>
  <c r="K17" i="1"/>
  <c r="K15" i="1"/>
  <c r="J18" i="1"/>
  <c r="K16" i="1"/>
  <c r="E14" i="1"/>
  <c r="K18" i="1" l="1"/>
</calcChain>
</file>

<file path=xl/sharedStrings.xml><?xml version="1.0" encoding="utf-8"?>
<sst xmlns="http://schemas.openxmlformats.org/spreadsheetml/2006/main" count="21" uniqueCount="21">
  <si>
    <t>xi</t>
  </si>
  <si>
    <t>yi</t>
  </si>
  <si>
    <t>xi^2</t>
  </si>
  <si>
    <t>xi^3</t>
  </si>
  <si>
    <t>x^4</t>
  </si>
  <si>
    <t>xi*yi</t>
  </si>
  <si>
    <t>xi^2*yi</t>
  </si>
  <si>
    <t>e0</t>
  </si>
  <si>
    <t>a0</t>
  </si>
  <si>
    <t>a1</t>
  </si>
  <si>
    <t>a2</t>
  </si>
  <si>
    <t>e1</t>
  </si>
  <si>
    <t>e2</t>
  </si>
  <si>
    <t>min</t>
  </si>
  <si>
    <t>max</t>
  </si>
  <si>
    <t>avg</t>
  </si>
  <si>
    <t>se</t>
  </si>
  <si>
    <t>e0^2</t>
  </si>
  <si>
    <t>e1^2</t>
  </si>
  <si>
    <t>e2^2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</si>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</sst>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166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H10" sqref="H10"/>
    </sheetView>
  </sheetViews>
  <sheetFormatPr defaultRowHeight="14.5" x14ac:dyDescent="0.35"/>
  <cols>
    <col min="9" max="9" width="9.90625" bestFit="1" customWidth="1"/>
    <col min="10" max="10" width="10.81640625" bestFit="1" customWidth="1"/>
    <col min="11" max="11" width="12.453125" bestFit="1" customWidth="1"/>
    <col min="12" max="12" width="7.90625" bestFit="1" customWidth="1"/>
    <col min="13" max="14" width="9.90625" bestFit="1" customWidth="1"/>
  </cols>
  <sheetData>
    <row r="1" spans="1:14" x14ac:dyDescent="0.35">
      <c r="A1" s="1"/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12</v>
      </c>
      <c r="L1" s="1" t="s">
        <v>17</v>
      </c>
      <c r="M1" s="1" t="s">
        <v>18</v>
      </c>
      <c r="N1" s="1" t="s">
        <v>19</v>
      </c>
    </row>
    <row r="2" spans="1:14" x14ac:dyDescent="0.35">
      <c r="A2" s="1">
        <v>1</v>
      </c>
      <c r="B2" s="2">
        <v>-0.502</v>
      </c>
      <c r="C2" s="2">
        <v>-0.9</v>
      </c>
      <c r="D2" s="1">
        <f>B2*B2</f>
        <v>0.25200400000000001</v>
      </c>
      <c r="E2" s="1">
        <f>D2*B2</f>
        <v>-0.126506008</v>
      </c>
      <c r="F2" s="1">
        <f>E2*B2</f>
        <v>6.3506016016000005E-2</v>
      </c>
      <c r="G2" s="1">
        <f>B2*C2</f>
        <v>0.45180000000000003</v>
      </c>
      <c r="H2" s="1">
        <f>D2*C2</f>
        <v>-0.22680360000000002</v>
      </c>
      <c r="I2" s="3">
        <f>C2-$B$17</f>
        <v>-1.7948</v>
      </c>
      <c r="J2" s="1">
        <f>C2-($B$18+$C$18*B2)</f>
        <v>-1.5695542</v>
      </c>
      <c r="K2" s="1">
        <f>C2-($B$19+$C$19*B2+$D$19*D2)</f>
        <v>-1.4699267200000143E-2</v>
      </c>
      <c r="L2" s="4">
        <f>I2*I2</f>
        <v>3.2213070399999997</v>
      </c>
      <c r="M2" s="4">
        <f t="shared" ref="M2:N13" si="0">J2*J2</f>
        <v>2.4635003867376399</v>
      </c>
      <c r="N2" s="4">
        <f t="shared" si="0"/>
        <v>2.1606845621700006E-4</v>
      </c>
    </row>
    <row r="3" spans="1:14" x14ac:dyDescent="0.35">
      <c r="A3" s="1">
        <v>2</v>
      </c>
      <c r="B3" s="2">
        <v>1.8029999999999999</v>
      </c>
      <c r="C3" s="2">
        <v>3.1240000000000001</v>
      </c>
      <c r="D3" s="1">
        <f t="shared" ref="D3:D13" si="1">B3*B3</f>
        <v>3.2508089999999998</v>
      </c>
      <c r="E3" s="1">
        <f t="shared" ref="E3:E13" si="2">D3*B3</f>
        <v>5.8612086269999999</v>
      </c>
      <c r="F3" s="1">
        <f t="shared" ref="F3:F13" si="3">E3*B3</f>
        <v>10.567759154480999</v>
      </c>
      <c r="G3" s="1">
        <f t="shared" ref="G3:G13" si="4">B3*C3</f>
        <v>5.6325719999999997</v>
      </c>
      <c r="H3" s="1">
        <f t="shared" ref="H3:H13" si="5">D3*C3</f>
        <v>10.155527316000001</v>
      </c>
      <c r="I3" s="3">
        <f t="shared" ref="I3:I13" si="6">C3-$B$17</f>
        <v>2.2292000000000001</v>
      </c>
      <c r="J3" s="1">
        <f t="shared" ref="J3:J13" si="7">C3-($B$18+$C$18*B3)</f>
        <v>1.5372863000000003</v>
      </c>
      <c r="K3" s="1">
        <f>C3-($B$19+$C$19*B3+$D$19*D3)</f>
        <v>-2.8844441199999515E-2</v>
      </c>
      <c r="L3" s="4">
        <f t="shared" ref="L3:L13" si="8">I3*I3</f>
        <v>4.9693326400000002</v>
      </c>
      <c r="M3" s="4">
        <f t="shared" si="0"/>
        <v>2.363249168167691</v>
      </c>
      <c r="N3" s="4">
        <f t="shared" si="0"/>
        <v>8.3200178814022948E-4</v>
      </c>
    </row>
    <row r="4" spans="1:14" x14ac:dyDescent="0.35">
      <c r="A4" s="1">
        <v>3</v>
      </c>
      <c r="B4" s="2">
        <v>0.92800000000000005</v>
      </c>
      <c r="C4" s="2">
        <v>0.45500000000000002</v>
      </c>
      <c r="D4" s="1">
        <f t="shared" si="1"/>
        <v>0.86118400000000006</v>
      </c>
      <c r="E4" s="1">
        <f t="shared" si="2"/>
        <v>0.7991787520000001</v>
      </c>
      <c r="F4" s="1">
        <f t="shared" si="3"/>
        <v>0.7416378818560001</v>
      </c>
      <c r="G4" s="1">
        <f t="shared" si="4"/>
        <v>0.42224000000000006</v>
      </c>
      <c r="H4" s="1">
        <f t="shared" si="5"/>
        <v>0.39183872000000003</v>
      </c>
      <c r="I4" s="3">
        <f t="shared" si="6"/>
        <v>-0.43980000000000002</v>
      </c>
      <c r="J4" s="1">
        <f t="shared" si="7"/>
        <v>-0.78355119999999978</v>
      </c>
      <c r="K4" s="1">
        <f t="shared" ref="K4:K13" si="9">C4-($B$19+$C$19*B4+$D$19*D4)</f>
        <v>4.4782508800000009E-2</v>
      </c>
      <c r="L4" s="4">
        <f t="shared" si="8"/>
        <v>0.19342404000000002</v>
      </c>
      <c r="M4" s="4">
        <f t="shared" si="0"/>
        <v>0.61395248302143968</v>
      </c>
      <c r="N4" s="4">
        <f t="shared" si="0"/>
        <v>2.0054730944220785E-3</v>
      </c>
    </row>
    <row r="5" spans="1:14" x14ac:dyDescent="0.35">
      <c r="A5" s="1">
        <v>4</v>
      </c>
      <c r="B5" s="2">
        <v>0.39500000000000002</v>
      </c>
      <c r="C5" s="2">
        <v>-0.34200000000000003</v>
      </c>
      <c r="D5" s="1">
        <f t="shared" si="1"/>
        <v>0.15602500000000002</v>
      </c>
      <c r="E5" s="1">
        <f t="shared" si="2"/>
        <v>6.1629875000000015E-2</v>
      </c>
      <c r="F5" s="1">
        <f t="shared" si="3"/>
        <v>2.4343800625000005E-2</v>
      </c>
      <c r="G5" s="1">
        <f t="shared" si="4"/>
        <v>-0.13509000000000002</v>
      </c>
      <c r="H5" s="1">
        <f t="shared" si="5"/>
        <v>-5.3360550000000014E-2</v>
      </c>
      <c r="I5" s="3">
        <f t="shared" si="6"/>
        <v>-1.2368000000000001</v>
      </c>
      <c r="J5" s="1">
        <f t="shared" si="7"/>
        <v>-1.3684704999999999</v>
      </c>
      <c r="K5" s="1">
        <f t="shared" si="9"/>
        <v>0.19288552999999992</v>
      </c>
      <c r="L5" s="4">
        <f t="shared" si="8"/>
        <v>1.5296742400000003</v>
      </c>
      <c r="M5" s="4">
        <f t="shared" si="0"/>
        <v>1.8727115093702498</v>
      </c>
      <c r="N5" s="4">
        <f t="shared" si="0"/>
        <v>3.7204827683380869E-2</v>
      </c>
    </row>
    <row r="6" spans="1:14" x14ac:dyDescent="0.35">
      <c r="A6" s="1">
        <v>5</v>
      </c>
      <c r="B6" s="2">
        <v>-1.3759999999999999</v>
      </c>
      <c r="C6" s="2">
        <v>0.158</v>
      </c>
      <c r="D6" s="1">
        <f t="shared" si="1"/>
        <v>1.8933759999999997</v>
      </c>
      <c r="E6" s="1">
        <f t="shared" si="2"/>
        <v>-2.6052853759999994</v>
      </c>
      <c r="F6" s="1">
        <f t="shared" si="3"/>
        <v>3.5848726773759991</v>
      </c>
      <c r="G6" s="1">
        <f t="shared" si="4"/>
        <v>-0.21740799999999999</v>
      </c>
      <c r="H6" s="1">
        <f t="shared" si="5"/>
        <v>0.29915340799999995</v>
      </c>
      <c r="I6" s="3">
        <f t="shared" si="6"/>
        <v>-0.73680000000000001</v>
      </c>
      <c r="J6" s="1">
        <f t="shared" si="7"/>
        <v>-0.16378960000000001</v>
      </c>
      <c r="K6" s="1">
        <f t="shared" si="9"/>
        <v>-0.11173431679999993</v>
      </c>
      <c r="L6" s="4">
        <f t="shared" si="8"/>
        <v>0.54287424000000006</v>
      </c>
      <c r="M6" s="4">
        <f t="shared" si="0"/>
        <v>2.6827033068160002E-2</v>
      </c>
      <c r="N6" s="4">
        <f t="shared" si="0"/>
        <v>1.2484557550762746E-2</v>
      </c>
    </row>
    <row r="7" spans="1:14" x14ac:dyDescent="0.35">
      <c r="A7" s="1">
        <v>6</v>
      </c>
      <c r="B7" s="2">
        <v>-1.3759999999999999</v>
      </c>
      <c r="C7" s="2">
        <v>0.159</v>
      </c>
      <c r="D7" s="1">
        <f t="shared" si="1"/>
        <v>1.8933759999999997</v>
      </c>
      <c r="E7" s="1">
        <f t="shared" si="2"/>
        <v>-2.6052853759999994</v>
      </c>
      <c r="F7" s="1">
        <f t="shared" si="3"/>
        <v>3.5848726773759991</v>
      </c>
      <c r="G7" s="1">
        <f t="shared" si="4"/>
        <v>-0.21878399999999998</v>
      </c>
      <c r="H7" s="1">
        <f t="shared" si="5"/>
        <v>0.30104678399999996</v>
      </c>
      <c r="I7" s="3">
        <f t="shared" si="6"/>
        <v>-0.73580000000000001</v>
      </c>
      <c r="J7" s="1">
        <f t="shared" si="7"/>
        <v>-0.16278960000000001</v>
      </c>
      <c r="K7" s="1">
        <f t="shared" si="9"/>
        <v>-0.11073431679999993</v>
      </c>
      <c r="L7" s="4">
        <f t="shared" si="8"/>
        <v>0.54140164000000002</v>
      </c>
      <c r="M7" s="4">
        <f t="shared" si="0"/>
        <v>2.6500453868160002E-2</v>
      </c>
      <c r="N7" s="4">
        <f t="shared" si="0"/>
        <v>1.2262088917162746E-2</v>
      </c>
    </row>
    <row r="8" spans="1:14" x14ac:dyDescent="0.35">
      <c r="A8" s="1">
        <v>7</v>
      </c>
      <c r="B8" s="2">
        <v>-1.768</v>
      </c>
      <c r="C8" s="2">
        <v>1.5569999999999999</v>
      </c>
      <c r="D8" s="1">
        <f t="shared" si="1"/>
        <v>3.1258240000000002</v>
      </c>
      <c r="E8" s="1">
        <f t="shared" si="2"/>
        <v>-5.526456832</v>
      </c>
      <c r="F8" s="1">
        <f t="shared" si="3"/>
        <v>9.7707756789759994</v>
      </c>
      <c r="G8" s="1">
        <f t="shared" si="4"/>
        <v>-2.7527759999999999</v>
      </c>
      <c r="H8" s="1">
        <f t="shared" si="5"/>
        <v>4.8669079680000005</v>
      </c>
      <c r="I8" s="3">
        <f t="shared" si="6"/>
        <v>0.6621999999999999</v>
      </c>
      <c r="J8" s="1">
        <f t="shared" si="7"/>
        <v>1.3911872000000001</v>
      </c>
      <c r="K8" s="1">
        <f t="shared" si="9"/>
        <v>0.28942215680000016</v>
      </c>
      <c r="L8" s="4">
        <f t="shared" si="8"/>
        <v>0.43850883999999984</v>
      </c>
      <c r="M8" s="4">
        <f t="shared" si="0"/>
        <v>1.9354018254438401</v>
      </c>
      <c r="N8" s="4">
        <f t="shared" si="0"/>
        <v>8.3765184846763874E-2</v>
      </c>
    </row>
    <row r="9" spans="1:14" x14ac:dyDescent="0.35">
      <c r="A9" s="1">
        <v>8</v>
      </c>
      <c r="B9" s="2">
        <v>1.4650000000000001</v>
      </c>
      <c r="C9" s="2">
        <v>2.0310000000000001</v>
      </c>
      <c r="D9" s="1">
        <f t="shared" si="1"/>
        <v>2.1462250000000003</v>
      </c>
      <c r="E9" s="1">
        <f t="shared" si="2"/>
        <v>3.1442196250000007</v>
      </c>
      <c r="F9" s="1">
        <f t="shared" si="3"/>
        <v>4.6062817506250013</v>
      </c>
      <c r="G9" s="1">
        <f t="shared" si="4"/>
        <v>2.9754150000000004</v>
      </c>
      <c r="H9" s="1">
        <f t="shared" si="5"/>
        <v>4.3589829750000009</v>
      </c>
      <c r="I9" s="3">
        <f t="shared" si="6"/>
        <v>1.1362000000000001</v>
      </c>
      <c r="J9" s="1">
        <f t="shared" si="7"/>
        <v>0.57877650000000003</v>
      </c>
      <c r="K9" s="1">
        <f t="shared" si="9"/>
        <v>0.11307316999999983</v>
      </c>
      <c r="L9" s="4">
        <f t="shared" si="8"/>
        <v>1.2909504400000003</v>
      </c>
      <c r="M9" s="4">
        <f t="shared" si="0"/>
        <v>0.33498223695225005</v>
      </c>
      <c r="N9" s="4">
        <f t="shared" si="0"/>
        <v>1.2785541773848863E-2</v>
      </c>
    </row>
    <row r="10" spans="1:14" x14ac:dyDescent="0.35">
      <c r="A10" s="1">
        <v>9</v>
      </c>
      <c r="B10" s="2">
        <v>0.40400000000000003</v>
      </c>
      <c r="C10" s="2">
        <v>-0.72799999999999998</v>
      </c>
      <c r="D10" s="1">
        <f t="shared" si="1"/>
        <v>0.16321600000000003</v>
      </c>
      <c r="E10" s="1">
        <f t="shared" si="2"/>
        <v>6.5939264000000011E-2</v>
      </c>
      <c r="F10" s="1">
        <f t="shared" si="3"/>
        <v>2.6639462656000007E-2</v>
      </c>
      <c r="G10" s="1">
        <f t="shared" si="4"/>
        <v>-0.29411199999999998</v>
      </c>
      <c r="H10" s="1">
        <f t="shared" si="5"/>
        <v>-0.11882124800000002</v>
      </c>
      <c r="I10" s="3">
        <f t="shared" si="6"/>
        <v>-1.6228</v>
      </c>
      <c r="J10" s="1">
        <f t="shared" si="7"/>
        <v>-1.7580515999999999</v>
      </c>
      <c r="K10" s="1">
        <f t="shared" si="9"/>
        <v>-0.20451362880000001</v>
      </c>
      <c r="L10" s="4">
        <f t="shared" si="8"/>
        <v>2.6334798400000001</v>
      </c>
      <c r="M10" s="4">
        <f t="shared" si="0"/>
        <v>3.0907454282625597</v>
      </c>
      <c r="N10" s="4">
        <f t="shared" si="0"/>
        <v>4.1825824364944197E-2</v>
      </c>
    </row>
    <row r="11" spans="1:14" x14ac:dyDescent="0.35">
      <c r="A11" s="1">
        <v>10</v>
      </c>
      <c r="B11" s="2">
        <v>0.83199999999999996</v>
      </c>
      <c r="C11" s="2">
        <v>0.217</v>
      </c>
      <c r="D11" s="1">
        <f t="shared" si="1"/>
        <v>0.69222399999999995</v>
      </c>
      <c r="E11" s="1">
        <f t="shared" si="2"/>
        <v>0.57593036799999997</v>
      </c>
      <c r="F11" s="1">
        <f t="shared" si="3"/>
        <v>0.47917406617599995</v>
      </c>
      <c r="G11" s="1">
        <f t="shared" si="4"/>
        <v>0.18054399999999998</v>
      </c>
      <c r="H11" s="1">
        <f t="shared" si="5"/>
        <v>0.150212608</v>
      </c>
      <c r="I11" s="3">
        <f t="shared" si="6"/>
        <v>-0.67780000000000007</v>
      </c>
      <c r="J11" s="1">
        <f t="shared" si="7"/>
        <v>-0.98335279999999992</v>
      </c>
      <c r="K11" s="1">
        <f t="shared" si="9"/>
        <v>1.7566636800000063E-2</v>
      </c>
      <c r="L11" s="4">
        <f t="shared" si="8"/>
        <v>0.4594128400000001</v>
      </c>
      <c r="M11" s="4">
        <f t="shared" si="0"/>
        <v>0.96698272926783979</v>
      </c>
      <c r="N11" s="4">
        <f t="shared" si="0"/>
        <v>3.0858672846311645E-4</v>
      </c>
    </row>
    <row r="12" spans="1:14" x14ac:dyDescent="0.35">
      <c r="A12" s="1">
        <v>11</v>
      </c>
      <c r="B12" s="2">
        <v>-1.9179999999999999</v>
      </c>
      <c r="C12" s="2">
        <v>1.6259999999999999</v>
      </c>
      <c r="D12" s="1">
        <f t="shared" si="1"/>
        <v>3.6787239999999999</v>
      </c>
      <c r="E12" s="1">
        <f t="shared" si="2"/>
        <v>-7.0557926319999993</v>
      </c>
      <c r="F12" s="1">
        <f t="shared" si="3"/>
        <v>13.533010268175998</v>
      </c>
      <c r="G12" s="1">
        <f t="shared" si="4"/>
        <v>-3.1186679999999996</v>
      </c>
      <c r="H12" s="1">
        <f t="shared" si="5"/>
        <v>5.9816052239999991</v>
      </c>
      <c r="I12" s="3">
        <f t="shared" si="6"/>
        <v>0.73119999999999985</v>
      </c>
      <c r="J12" s="1">
        <f t="shared" si="7"/>
        <v>1.5198722</v>
      </c>
      <c r="K12" s="1">
        <f t="shared" si="9"/>
        <v>-0.10200656319999979</v>
      </c>
      <c r="L12" s="4">
        <f t="shared" si="8"/>
        <v>0.53465343999999981</v>
      </c>
      <c r="M12" s="4">
        <f t="shared" si="0"/>
        <v>2.3100115043328402</v>
      </c>
      <c r="N12" s="4">
        <f t="shared" si="0"/>
        <v>1.0405338935875551E-2</v>
      </c>
    </row>
    <row r="13" spans="1:14" x14ac:dyDescent="0.35">
      <c r="A13" s="1">
        <v>12</v>
      </c>
      <c r="B13" s="2">
        <v>1.88</v>
      </c>
      <c r="C13" s="2">
        <v>3.38</v>
      </c>
      <c r="D13" s="1">
        <f t="shared" si="1"/>
        <v>3.5343999999999998</v>
      </c>
      <c r="E13" s="1">
        <f t="shared" si="2"/>
        <v>6.644671999999999</v>
      </c>
      <c r="F13" s="1">
        <f t="shared" si="3"/>
        <v>12.491983359999997</v>
      </c>
      <c r="G13" s="1">
        <f t="shared" si="4"/>
        <v>6.3543999999999992</v>
      </c>
      <c r="H13" s="1">
        <f t="shared" si="5"/>
        <v>11.946271999999999</v>
      </c>
      <c r="I13" s="3">
        <f t="shared" si="6"/>
        <v>2.4851999999999999</v>
      </c>
      <c r="J13" s="1">
        <f t="shared" si="7"/>
        <v>1.762648</v>
      </c>
      <c r="K13" s="1">
        <f t="shared" si="9"/>
        <v>-8.5065919999999462E-2</v>
      </c>
      <c r="L13" s="4">
        <f t="shared" si="8"/>
        <v>6.1762190399999994</v>
      </c>
      <c r="M13" s="4">
        <f t="shared" si="0"/>
        <v>3.1069279719040002</v>
      </c>
      <c r="N13" s="4">
        <f t="shared" si="0"/>
        <v>7.2362107454463087E-3</v>
      </c>
    </row>
    <row r="14" spans="1:14" x14ac:dyDescent="0.35">
      <c r="A14" s="5" t="s">
        <v>20</v>
      </c>
      <c r="B14" s="5">
        <f>SUM(B2:B13)</f>
        <v>0.76700000000000035</v>
      </c>
      <c r="C14" s="5">
        <f>SUM(C2:C13)</f>
        <v>10.737000000000002</v>
      </c>
      <c r="D14" s="5">
        <f>SUM(D2:D13)</f>
        <v>21.647387000000002</v>
      </c>
      <c r="E14" s="5">
        <f>SUM(E2:E13)</f>
        <v>-0.7665477129999978</v>
      </c>
      <c r="F14" s="5">
        <f t="shared" ref="F14:H14" si="10">SUM(F2:F13)</f>
        <v>59.474856794338997</v>
      </c>
      <c r="G14" s="5">
        <f t="shared" si="10"/>
        <v>9.2801330000000011</v>
      </c>
      <c r="H14" s="5">
        <f t="shared" si="10"/>
        <v>38.052561605000001</v>
      </c>
      <c r="I14" s="5">
        <f t="shared" ref="I14" si="11">SUM(I2:I13)</f>
        <v>-6.0000000000037801E-4</v>
      </c>
      <c r="J14" s="5">
        <f t="shared" ref="J14" si="12">SUM(J2:J13)</f>
        <v>2.1070000000067424E-4</v>
      </c>
      <c r="K14" s="5">
        <f t="shared" ref="K14" si="13">SUM(K2:K13)</f>
        <v>1.3154840000120793E-4</v>
      </c>
      <c r="L14" s="5">
        <f t="shared" ref="L14" si="14">SUM(L2:L13)</f>
        <v>22.53123828</v>
      </c>
      <c r="M14" s="5">
        <f t="shared" ref="M14" si="15">SUM(M2:M13)</f>
        <v>19.111792730396672</v>
      </c>
      <c r="N14" s="5">
        <f t="shared" ref="N14" si="16">SUM(N2:N13)</f>
        <v>0.22133170488542758</v>
      </c>
    </row>
    <row r="15" spans="1:14" x14ac:dyDescent="0.35">
      <c r="H15" s="1" t="s">
        <v>13</v>
      </c>
      <c r="I15" s="1">
        <f>MIN(I2:I13)</f>
        <v>-1.7948</v>
      </c>
      <c r="J15" s="1">
        <f>MIN(J2:J13)</f>
        <v>-1.7580515999999999</v>
      </c>
      <c r="K15" s="1">
        <f>MIN(K2:K13)</f>
        <v>-0.20451362880000001</v>
      </c>
    </row>
    <row r="16" spans="1:14" x14ac:dyDescent="0.35">
      <c r="B16" s="1" t="s">
        <v>8</v>
      </c>
      <c r="C16" s="1" t="s">
        <v>9</v>
      </c>
      <c r="D16" s="1" t="s">
        <v>10</v>
      </c>
      <c r="H16" s="1" t="s">
        <v>14</v>
      </c>
      <c r="I16" s="1">
        <f>MAX(I2:I13)</f>
        <v>2.4851999999999999</v>
      </c>
      <c r="J16" s="1">
        <f>MAX(J2:J13)</f>
        <v>1.762648</v>
      </c>
      <c r="K16" s="1">
        <f>MAX(K2:K13)</f>
        <v>0.28942215680000016</v>
      </c>
    </row>
    <row r="17" spans="2:11" x14ac:dyDescent="0.35">
      <c r="B17" s="1">
        <v>0.89480000000000004</v>
      </c>
      <c r="C17" s="1"/>
      <c r="D17" s="1"/>
      <c r="H17" s="1" t="s">
        <v>15</v>
      </c>
      <c r="I17" s="6">
        <f>AVERAGE(I2:I13)</f>
        <v>-5.0000000000031498E-5</v>
      </c>
      <c r="J17" s="6">
        <f t="shared" ref="J17:K17" si="17">AVERAGE(J2:J13)</f>
        <v>1.755833333338952E-5</v>
      </c>
      <c r="K17" s="6">
        <f t="shared" si="17"/>
        <v>1.0962366666767328E-5</v>
      </c>
    </row>
    <row r="18" spans="2:11" x14ac:dyDescent="0.35">
      <c r="B18" s="1">
        <v>0.86929999999999996</v>
      </c>
      <c r="C18" s="1">
        <v>0.39789999999999998</v>
      </c>
      <c r="D18" s="1"/>
      <c r="H18" s="1" t="s">
        <v>16</v>
      </c>
      <c r="I18" s="1">
        <f>SQRT(L14/11)</f>
        <v>1.4311863572193906</v>
      </c>
      <c r="J18" s="1">
        <f>SQRT(M14/11)</f>
        <v>1.318118243088735</v>
      </c>
      <c r="K18" s="1">
        <f>SQRT(N14/11)</f>
        <v>0.14184873661930661</v>
      </c>
    </row>
    <row r="19" spans="2:11" x14ac:dyDescent="0.35">
      <c r="B19" s="1">
        <v>-0.88090000000000002</v>
      </c>
      <c r="C19" s="1">
        <v>0.49409999999999998</v>
      </c>
      <c r="D19" s="1">
        <v>0.96679999999999999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Подсчеты для части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Pisarskaya</dc:creator>
  <cp:lastModifiedBy>Daria Pisarskaya</cp:lastModifiedBy>
  <dcterms:created xsi:type="dcterms:W3CDTF">2015-06-05T18:17:20Z</dcterms:created>
  <dcterms:modified xsi:type="dcterms:W3CDTF">2025-11-23T17:40:59Z</dcterms:modified>
</cp:coreProperties>
</file>